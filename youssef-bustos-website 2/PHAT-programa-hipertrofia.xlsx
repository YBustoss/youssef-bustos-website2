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utina" sheetId="2" state="visible" r:id="rId4"/>
    <sheet name="Progresió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<sst xmlns="http://schemas.openxmlformats.org/spreadsheetml/2006/main" count="80" uniqueCount="79">
  <si>
    <t xml:space="preserve">PHAT</t>
  </si>
  <si>
    <t xml:space="preserve">INSTRUCCIONES:</t>
  </si>
  <si>
    <t xml:space="preserve">1. Modifica solo las celdas naranjas introduciendo tus 1RM</t>
  </si>
  <si>
    <t xml:space="preserve">2. Los ejercicios a realizar en los levantamientos de potencia del</t>
  </si>
  <si>
    <t xml:space="preserve">día de hipertrofia irán en función del ejercicio realizado el día de fuerza</t>
  </si>
  <si>
    <t xml:space="preserve">3. La progresión será semanal, con una duración de 6 semanas.</t>
  </si>
  <si>
    <t xml:space="preserve">Día 1: Torso Pesado</t>
  </si>
  <si>
    <t xml:space="preserve">Día 2: Pierna Pesado</t>
  </si>
  <si>
    <t xml:space="preserve">A. Press Banca *Progresión*</t>
  </si>
  <si>
    <t xml:space="preserve">A. Sentadilla *Progresión*</t>
  </si>
  <si>
    <t xml:space="preserve">B. Dominadas *Progresión*</t>
  </si>
  <si>
    <t xml:space="preserve">B. Peso Muerto *Progresión*</t>
  </si>
  <si>
    <t xml:space="preserve">C. Press Militar *Progresión*</t>
  </si>
  <si>
    <t xml:space="preserve">C. Sentadilla Hack 2x6-10</t>
  </si>
  <si>
    <t xml:space="preserve">D. Remo c/b *Progresión*</t>
  </si>
  <si>
    <t xml:space="preserve">D. Extensión de cuadriceps 2x6-10</t>
  </si>
  <si>
    <t xml:space="preserve">E. Dips *Progresión*</t>
  </si>
  <si>
    <t xml:space="preserve">E. Curl Femoral 2x6-10</t>
  </si>
  <si>
    <t xml:space="preserve">F. Rack chins 2x6-10</t>
  </si>
  <si>
    <t xml:space="preserve">F. Elevación de talones piernas rectas 3x6-10</t>
  </si>
  <si>
    <t xml:space="preserve">G. Curl con barra Z 3x6-10</t>
  </si>
  <si>
    <t xml:space="preserve">G. Elevación de talones piernas flexionadas 2x6-10</t>
  </si>
  <si>
    <t xml:space="preserve">H. Press francés 3x6-10</t>
  </si>
  <si>
    <t xml:space="preserve">Día 3: Espalda-Hombros hipertrofia</t>
  </si>
  <si>
    <t xml:space="preserve">Día 4: Piernas Hipertrofia</t>
  </si>
  <si>
    <t xml:space="preserve">Día 5: Pecho-Brazos hipertrofia</t>
  </si>
  <si>
    <t xml:space="preserve">A. Torso explosivo *Progresión*</t>
  </si>
  <si>
    <t xml:space="preserve">A. Sentadilla explosiva *Progresión*</t>
  </si>
  <si>
    <t xml:space="preserve">A. Press Banca explosivo *Progresión*</t>
  </si>
  <si>
    <t xml:space="preserve">B. Rack chins 3x8-12</t>
  </si>
  <si>
    <t xml:space="preserve">B. Sentadilla Hack 3x8-12</t>
  </si>
  <si>
    <t xml:space="preserve">B. Press Banca inclinado 3x8-12</t>
  </si>
  <si>
    <t xml:space="preserve">C. Remo en polea 3x8-12</t>
  </si>
  <si>
    <t xml:space="preserve">C. Prensa 2x12-15</t>
  </si>
  <si>
    <t xml:space="preserve">C. Press Pecho en máquina 3x12-15</t>
  </si>
  <si>
    <t xml:space="preserve">D. Remo c/m 2x12-15</t>
  </si>
  <si>
    <t xml:space="preserve">D. Extensión de cuadriceps 3x15-20</t>
  </si>
  <si>
    <t xml:space="preserve">D. Aperturas en polea 2x15-20</t>
  </si>
  <si>
    <t xml:space="preserve">E. Jalón al pecho 2x15-20</t>
  </si>
  <si>
    <t xml:space="preserve">E. Peso Muerto Rumano 3x8-12</t>
  </si>
  <si>
    <t xml:space="preserve">E. Curl con barra 3x8-12</t>
  </si>
  <si>
    <t xml:space="preserve">F. Press sentado c/m 3x8-12</t>
  </si>
  <si>
    <t xml:space="preserve">F. Curl femoral tumbado 2x12-15</t>
  </si>
  <si>
    <t xml:space="preserve">F. Curl con mancuernas 2x12-15</t>
  </si>
  <si>
    <t xml:space="preserve">G. Remo al mentón 2x12-15</t>
  </si>
  <si>
    <t xml:space="preserve">G. Curl femoral sentado 2x15-20</t>
  </si>
  <si>
    <t xml:space="preserve">G. Curl araña en banco inclinado 2x15-20</t>
  </si>
  <si>
    <t xml:space="preserve">H. Elevaciones laterales c/m 3x12-20</t>
  </si>
  <si>
    <t xml:space="preserve">H. Gemelos burro 4x10-15</t>
  </si>
  <si>
    <t xml:space="preserve">H. Press Francés de pie 3x8-12</t>
  </si>
  <si>
    <t xml:space="preserve">I. Elevación de talones piernas flexionadas 3x15-20</t>
  </si>
  <si>
    <t xml:space="preserve">I. Extensión de triceps en polea 2x12-15</t>
  </si>
  <si>
    <t xml:space="preserve">J. Patada trasera en polea 2x15-20</t>
  </si>
  <si>
    <t xml:space="preserve">ACLARACIONES:</t>
  </si>
  <si>
    <t xml:space="preserve">Los días de fuerza sigue la progresión establecida en todos los ejercicios</t>
  </si>
  <si>
    <t xml:space="preserve">El día de espalda-hombros hipertrofia intercala entre remo, dominadas y press militar, haz uno cada semana.</t>
  </si>
  <si>
    <t xml:space="preserve">Recuerda que puedes modificar los ejercicios de la rutina hasta adaptarla a tus preferencias.</t>
  </si>
  <si>
    <t xml:space="preserve">Press Banca</t>
  </si>
  <si>
    <t xml:space="preserve">Press Militar</t>
  </si>
  <si>
    <t xml:space="preserve">Sentadilla</t>
  </si>
  <si>
    <t xml:space="preserve">Peso Muerto</t>
  </si>
  <si>
    <t xml:space="preserve">Remo</t>
  </si>
  <si>
    <t xml:space="preserve">Dips</t>
  </si>
  <si>
    <t xml:space="preserve">Dominadas</t>
  </si>
  <si>
    <t xml:space="preserve">Introduce tu 1RM</t>
  </si>
  <si>
    <t xml:space="preserve">5RM estimado</t>
  </si>
  <si>
    <t xml:space="preserve">3RM estimado</t>
  </si>
  <si>
    <t xml:space="preserve">Semana 1 Fuerza:</t>
  </si>
  <si>
    <t xml:space="preserve">Semana 1 Hipertrofia:</t>
  </si>
  <si>
    <t xml:space="preserve">Semana 2 Fuerza:</t>
  </si>
  <si>
    <t xml:space="preserve">Semana 2 Hipertrofia:</t>
  </si>
  <si>
    <t xml:space="preserve">Semana 3 Fuerza:</t>
  </si>
  <si>
    <t xml:space="preserve">Semana 3 Hipertrofia:</t>
  </si>
  <si>
    <t xml:space="preserve">Semana 4 Fuerza:</t>
  </si>
  <si>
    <t xml:space="preserve">Semana 4 Hipertrofia:</t>
  </si>
  <si>
    <t xml:space="preserve">Semana 5 Fuerza:</t>
  </si>
  <si>
    <t xml:space="preserve">Semana 5 Hipertrofia:</t>
  </si>
  <si>
    <t xml:space="preserve">Semana 6 Fuerza:</t>
  </si>
  <si>
    <t xml:space="preserve">Semana 6 Hipertrofia: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</si>
</sst>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2"/>
      <color rgb="FF00000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EEF3FB"/>
      <name val="Verdana"/>
      <family val="0"/>
      <charset val="1"/>
    </font>
    <font>
      <b val="true"/>
      <sz val="12"/>
      <color rgb="FF060B16"/>
      <name val="Verdana"/>
      <family val="0"/>
      <charset val="1"/>
    </font>
    <font>
      <b val="true"/>
      <sz val="12"/>
      <color rgb="FFEEF3FB"/>
      <name val="Verdana"/>
      <family val="0"/>
      <charset val="1"/>
    </font>
    <font>
      <sz val="11"/>
      <color rgb="FF000000"/>
      <name val="Verdana"/>
      <family val="0"/>
      <charset val="1"/>
    </font>
    <font>
      <b val="true"/>
      <sz val="12"/>
      <color rgb="FFEEF3FB"/>
      <name val="Helvetica Neue"/>
      <family val="0"/>
      <charset val="1"/>
    </font>
    <font>
      <b val="true"/>
      <sz val="10"/>
      <color rgb="FF000000"/>
      <name val="Helvetica Neue"/>
      <family val="0"/>
      <charset val="1"/>
    </font>
    <font>
      <u val="single"/>
      <sz val="12"/>
      <color rgb="FF0000FF"/>
      <name val="Verdana"/>
      <family val="0"/>
      <charset val="1"/>
    </font>
    <font>
      <sz val="10"/>
      <color rgb="FF000000"/>
      <name val="Verdana"/>
      <family val="0"/>
      <charset val="1"/>
    </font>
    <font>
      <sz val="10"/>
      <color rgb="FF000000"/>
      <name val="Helvetica Neue"/>
      <family val="0"/>
      <charset val="1"/>
    </font>
    <font>
      <b val="true"/>
      <sz val="10"/>
      <color rgb="FF060B16"/>
      <name val="Verdan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60B16"/>
        <bgColor rgb="FF000000"/>
      </patternFill>
    </fill>
    <fill>
      <patternFill patternType="solid">
        <fgColor rgb="FF2BD9C9"/>
        <bgColor rgb="FF00CCFF"/>
      </patternFill>
    </fill>
    <fill>
      <patternFill patternType="solid">
        <fgColor rgb="FFBDC0BF"/>
        <bgColor rgb="FFAAAAAA"/>
      </patternFill>
    </fill>
    <fill>
      <patternFill patternType="solid">
        <fgColor rgb="FFDBDBDB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BDBDB"/>
      </patternFill>
    </fill>
    <fill>
      <patternFill patternType="solid">
        <fgColor rgb="FFFFFDF7"/>
        <bgColor rgb="FFEEF3FB"/>
      </patternFill>
    </fill>
    <fill>
      <patternFill patternType="solid">
        <fgColor rgb="FFFF8A3D"/>
        <bgColor rgb="FFFF8080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/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medium">
        <color rgb="FF515151"/>
      </bottom>
      <diagonal/>
    </border>
    <border diagonalUp="false" diagonalDown="false">
      <left style="thin"/>
      <right style="medium">
        <color rgb="FF515151"/>
      </right>
      <top style="medium">
        <color rgb="FF515151"/>
      </top>
      <bottom style="medium">
        <color rgb="FF515151"/>
      </bottom>
      <diagonal/>
    </border>
    <border diagonalUp="false" diagonalDown="false">
      <left style="medium">
        <color rgb="FF515151"/>
      </left>
      <right style="medium">
        <color rgb="FF515151"/>
      </right>
      <top style="medium">
        <color rgb="FF515151"/>
      </top>
      <bottom style="medium">
        <color rgb="FF515151"/>
      </bottom>
      <diagonal/>
    </border>
    <border diagonalUp="false" diagonalDown="false">
      <left style="medium">
        <color rgb="FF515151"/>
      </left>
      <right style="medium"/>
      <top style="medium">
        <color rgb="FF515151"/>
      </top>
      <bottom style="medium"/>
      <diagonal/>
    </border>
    <border diagonalUp="false" diagonalDown="false">
      <left style="thin"/>
      <right style="medium">
        <color rgb="FF515151"/>
      </right>
      <top style="thin"/>
      <bottom style="thin"/>
      <diagonal/>
    </border>
    <border diagonalUp="false" diagonalDown="false">
      <left style="medium">
        <color rgb="FF515151"/>
      </left>
      <right style="medium">
        <color rgb="FF515151"/>
      </right>
      <top style="thin"/>
      <bottom style="thin"/>
      <diagonal/>
    </border>
    <border diagonalUp="false" diagonalDown="false">
      <left style="medium">
        <color rgb="FF515151"/>
      </left>
      <right style="thin"/>
      <top style="medium">
        <color rgb="FF515151"/>
      </top>
      <bottom style="thin"/>
      <diagonal/>
    </border>
    <border diagonalUp="false" diagonalDown="false">
      <left style="thin"/>
      <right style="thin"/>
      <top style="medium">
        <color rgb="FF515151"/>
      </top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>
        <color rgb="FF515151"/>
      </left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>
        <color rgb="FF515151"/>
      </left>
      <right style="medium">
        <color rgb="FF515151"/>
      </right>
      <top style="thin"/>
      <bottom style="medium">
        <color rgb="FF515151"/>
      </bottom>
      <diagonal/>
    </border>
    <border diagonalUp="false" diagonalDown="false">
      <left style="medium">
        <color rgb="FF515151"/>
      </left>
      <right style="thin"/>
      <top style="thin"/>
      <bottom style="medium">
        <color rgb="FF515151"/>
      </bottom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7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2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2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2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0BF"/>
      <rgbColor rgb="FF808080"/>
      <rgbColor rgb="FF9999FF"/>
      <rgbColor rgb="FF993366"/>
      <rgbColor rgb="FFEEF3FB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DBDB"/>
      <rgbColor rgb="FFFFFF99"/>
      <rgbColor rgb="FF99CCFF"/>
      <rgbColor rgb="FFFF99CC"/>
      <rgbColor rgb="FFCC99FF"/>
      <rgbColor rgb="FFFFCC99"/>
      <rgbColor rgb="FF3366FF"/>
      <rgbColor rgb="FF2BD9C9"/>
      <rgbColor rgb="FF99CC00"/>
      <rgbColor rgb="FFFFCC00"/>
      <rgbColor rgb="FFFF8A3D"/>
      <rgbColor rgb="FFFF6600"/>
      <rgbColor rgb="FF666699"/>
      <rgbColor rgb="FFAAAAAA"/>
      <rgbColor rgb="FF003366"/>
      <rgbColor rgb="FF339966"/>
      <rgbColor rgb="FF060B16"/>
      <rgbColor rgb="FF333300"/>
      <rgbColor rgb="FF993300"/>
      <rgbColor rgb="FF993366"/>
      <rgbColor rgb="FF333399"/>
      <rgbColor rgb="FF515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0000FF"/>
      </a:folHlink>
    </a:clrScheme>
    <a:fontScheme name="Sheets">
      <a:majorFont>
        <a:latin typeface="Verdana" pitchFamily="0" charset="1"/>
        <a:ea typeface="Verdana" pitchFamily="0" charset="1"/>
        <a:cs typeface="Verdana" pitchFamily="0" charset="1"/>
      </a:majorFont>
      <a:minorFont>
        <a:latin typeface="Verdana" pitchFamily="0" charset="1"/>
        <a:ea typeface="Verdana" pitchFamily="0" charset="1"/>
        <a:cs typeface="Verdan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8359375" defaultRowHeight="15" customHeight="true" zeroHeight="false" outlineLevelRow="0" outlineLevelCol="0"/>
  <cols>
    <col collapsed="false" customWidth="true" hidden="false" outlineLevel="0" max="26" min="1" style="0" width="10.73"/>
  </cols>
  <sheetData>
    <row r="1" customFormat="false" ht="19.5" hidden="false" customHeight="true" outlineLevel="0" collapsed="false">
      <c r="A1" s="1"/>
      <c r="B1" s="2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9.5" hidden="false" customHeight="true" outlineLevel="0" collapsed="false">
      <c r="A2" s="1"/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9.5" hidden="false" customHeight="true" outlineLevel="0" collapsed="false">
      <c r="A3" s="1"/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9.5" hidden="false" customHeight="true" outlineLevel="0" collapsed="false">
      <c r="A4" s="4"/>
      <c r="B4" s="5"/>
      <c r="C4" s="5"/>
      <c r="D4" s="5"/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9.5" hidden="false" customHeight="true" outlineLevel="0" collapsed="false">
      <c r="A5" s="4"/>
      <c r="B5" s="4"/>
      <c r="C5" s="4"/>
      <c r="D5" s="4"/>
      <c r="E5" s="4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9.5" hidden="false" customHeight="true" outlineLevel="0" collapsed="false">
      <c r="A6" s="4"/>
      <c r="B6" s="4"/>
      <c r="C6" s="4"/>
      <c r="D6" s="4"/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9.5" hidden="false" customHeight="true" outlineLevel="0" collapsed="false">
      <c r="A7" s="4"/>
      <c r="B7" s="4"/>
      <c r="C7" s="4"/>
      <c r="D7" s="4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9.5" hidden="false" customHeight="true" outlineLevel="0" collapsed="false">
      <c r="A8" s="4"/>
      <c r="B8" s="4"/>
      <c r="C8" s="4"/>
      <c r="D8" s="4"/>
      <c r="E8" s="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9.5" hidden="false" customHeight="true" outlineLevel="0" collapsed="false">
      <c r="A9" s="4"/>
      <c r="B9" s="4"/>
      <c r="C9" s="4"/>
      <c r="D9" s="4"/>
      <c r="E9" s="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9.5" hidden="false" customHeight="true" outlineLevel="0" collapsed="false">
      <c r="A10" s="4"/>
      <c r="B10" s="4"/>
      <c r="C10" s="4"/>
      <c r="D10" s="4"/>
      <c r="E10" s="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9.5" hidden="false" customHeight="true" outlineLevel="0" collapsed="false">
      <c r="A11" s="4"/>
      <c r="B11" s="4"/>
      <c r="C11" s="4"/>
      <c r="D11" s="4"/>
      <c r="E11" s="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9.5" hidden="false" customHeight="true" outlineLevel="0" collapsed="false">
      <c r="A12" s="4"/>
      <c r="B12" s="4"/>
      <c r="C12" s="4"/>
      <c r="D12" s="4"/>
      <c r="E12" s="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9.5" hidden="false" customHeight="true" outlineLevel="0" collapsed="false">
      <c r="A13" s="4"/>
      <c r="B13" s="4"/>
      <c r="C13" s="4"/>
      <c r="D13" s="4"/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9.5" hidden="false" customHeight="true" outlineLevel="0" collapsed="false">
      <c r="A14" s="4"/>
      <c r="B14" s="4"/>
      <c r="C14" s="4"/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9.5" hidden="false" customHeight="true" outlineLevel="0" collapsed="false">
      <c r="A15" s="6"/>
      <c r="B15" s="6"/>
      <c r="C15" s="6"/>
      <c r="D15" s="6"/>
      <c r="E15" s="6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9.5" hidden="false" customHeight="true" outlineLevel="0" collapsed="false">
      <c r="A16" s="7" t="s">
        <v>1</v>
      </c>
      <c r="B16" s="7"/>
      <c r="C16" s="7"/>
      <c r="D16" s="7"/>
      <c r="E16" s="7"/>
      <c r="F16" s="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9.5" hidden="false" customHeight="true" outlineLevel="0" collapsed="false">
      <c r="A17" s="9" t="s">
        <v>2</v>
      </c>
      <c r="B17" s="9"/>
      <c r="C17" s="9"/>
      <c r="D17" s="9"/>
      <c r="E17" s="9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10" t="s">
        <v>3</v>
      </c>
      <c r="B18" s="10"/>
      <c r="C18" s="10"/>
      <c r="D18" s="10"/>
      <c r="E18" s="10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10" t="s">
        <v>4</v>
      </c>
      <c r="B19" s="10"/>
      <c r="C19" s="10"/>
      <c r="D19" s="10"/>
      <c r="E19" s="10"/>
      <c r="F19" s="1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9.5" hidden="false" customHeight="true" outlineLevel="0" collapsed="false">
      <c r="A20" s="10" t="s">
        <v>5</v>
      </c>
      <c r="B20" s="10"/>
      <c r="C20" s="10"/>
      <c r="D20" s="10"/>
      <c r="E20" s="10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7.25" hidden="false" customHeight="true" outlineLevel="0" collapsed="false">
      <c r="A21" s="11"/>
      <c r="B21" s="11"/>
      <c r="C21" s="11"/>
      <c r="D21" s="11"/>
      <c r="E21" s="11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B1:F3"/>
    <mergeCell ref="A16:E16"/>
    <mergeCell ref="A17:E17"/>
    <mergeCell ref="A18:E18"/>
    <mergeCell ref="A19:F19"/>
    <mergeCell ref="A20:E20"/>
    <mergeCell ref="A21:E21"/>
  </mergeCells>
  <printOptions headings="false" gridLines="false" gridLinesSet="true" horizontalCentered="false" verticalCentered="false"/>
  <pageMargins left="0.75" right="0.75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&amp;L000000_x005F_x0009_&amp;P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8359375" defaultRowHeight="15" customHeight="true" zeroHeight="false" outlineLevelRow="0" outlineLevelCol="0"/>
  <cols>
    <col collapsed="false" customWidth="true" hidden="false" outlineLevel="0" max="1" min="1" style="0" width="10.73"/>
    <col collapsed="false" customWidth="true" hidden="false" outlineLevel="0" max="2" min="2" style="0" width="12.09"/>
    <col collapsed="false" customWidth="true" hidden="false" outlineLevel="0" max="4" min="3" style="0" width="10.73"/>
    <col collapsed="false" customWidth="true" hidden="false" outlineLevel="0" max="5" min="5" style="0" width="14.91"/>
    <col collapsed="false" customWidth="true" hidden="false" outlineLevel="0" max="6" min="6" style="0" width="10.27"/>
    <col collapsed="false" customWidth="true" hidden="false" outlineLevel="0" max="26" min="7" style="0" width="10.73"/>
  </cols>
  <sheetData>
    <row r="1" customFormat="false" ht="19.5" hidden="false" customHeight="true" outlineLevel="0" collapsed="false">
      <c r="A1" s="6"/>
      <c r="B1" s="6"/>
      <c r="C1" s="4"/>
      <c r="D1" s="6"/>
      <c r="E1" s="6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3.25" hidden="false" customHeight="true" outlineLevel="0" collapsed="false">
      <c r="A2" s="12" t="s">
        <v>6</v>
      </c>
      <c r="B2" s="12"/>
      <c r="C2" s="13"/>
      <c r="D2" s="12" t="s">
        <v>7</v>
      </c>
      <c r="E2" s="12"/>
      <c r="F2" s="8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true" outlineLevel="0" collapsed="false">
      <c r="A3" s="14" t="s">
        <v>8</v>
      </c>
      <c r="B3" s="14"/>
      <c r="C3" s="4"/>
      <c r="D3" s="14" t="s">
        <v>9</v>
      </c>
      <c r="E3" s="14"/>
      <c r="F3" s="4"/>
      <c r="G3" s="4"/>
      <c r="H3" s="4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15" t="s">
        <v>10</v>
      </c>
      <c r="B4" s="15"/>
      <c r="C4" s="4"/>
      <c r="D4" s="15" t="s">
        <v>11</v>
      </c>
      <c r="E4" s="15"/>
      <c r="F4" s="4"/>
      <c r="G4" s="4"/>
      <c r="H4" s="4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15" t="s">
        <v>12</v>
      </c>
      <c r="B5" s="15"/>
      <c r="C5" s="4"/>
      <c r="D5" s="15" t="s">
        <v>13</v>
      </c>
      <c r="E5" s="15"/>
      <c r="F5" s="4"/>
      <c r="G5" s="4"/>
      <c r="H5" s="4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15" t="s">
        <v>14</v>
      </c>
      <c r="B6" s="15"/>
      <c r="C6" s="4"/>
      <c r="D6" s="15" t="s">
        <v>15</v>
      </c>
      <c r="E6" s="15"/>
      <c r="F6" s="15"/>
      <c r="G6" s="4"/>
      <c r="H6" s="4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15" t="s">
        <v>16</v>
      </c>
      <c r="B7" s="15"/>
      <c r="C7" s="16"/>
      <c r="D7" s="15" t="s">
        <v>17</v>
      </c>
      <c r="E7" s="15"/>
      <c r="F7" s="4"/>
      <c r="G7" s="4"/>
      <c r="H7" s="4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15" t="s">
        <v>18</v>
      </c>
      <c r="B8" s="15"/>
      <c r="C8" s="16"/>
      <c r="D8" s="15" t="s">
        <v>19</v>
      </c>
      <c r="E8" s="15"/>
      <c r="F8" s="15"/>
      <c r="G8" s="4"/>
      <c r="H8" s="4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15" t="s">
        <v>20</v>
      </c>
      <c r="B9" s="15"/>
      <c r="C9" s="4"/>
      <c r="D9" s="15" t="s">
        <v>21</v>
      </c>
      <c r="E9" s="15"/>
      <c r="F9" s="15"/>
      <c r="G9" s="15"/>
      <c r="H9" s="4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15" t="s">
        <v>22</v>
      </c>
      <c r="B10" s="15"/>
      <c r="C10" s="4"/>
      <c r="D10" s="17"/>
      <c r="E10" s="17"/>
      <c r="F10" s="4"/>
      <c r="G10" s="4"/>
      <c r="H10" s="4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9.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9.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9.5" hidden="false" customHeight="true" outlineLevel="0" collapsed="false">
      <c r="A13" s="6"/>
      <c r="B13" s="6"/>
      <c r="C13" s="4"/>
      <c r="D13" s="6"/>
      <c r="E13" s="6"/>
      <c r="F13" s="4"/>
      <c r="G13" s="6"/>
      <c r="H13" s="6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33.75" hidden="false" customHeight="true" outlineLevel="0" collapsed="false">
      <c r="A14" s="12" t="s">
        <v>23</v>
      </c>
      <c r="B14" s="12"/>
      <c r="C14" s="13"/>
      <c r="D14" s="12" t="s">
        <v>24</v>
      </c>
      <c r="E14" s="12"/>
      <c r="F14" s="13"/>
      <c r="G14" s="12" t="s">
        <v>25</v>
      </c>
      <c r="H14" s="12"/>
      <c r="I14" s="1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14" t="s">
        <v>26</v>
      </c>
      <c r="B15" s="14"/>
      <c r="C15" s="14"/>
      <c r="D15" s="14" t="s">
        <v>27</v>
      </c>
      <c r="E15" s="14"/>
      <c r="F15" s="14"/>
      <c r="G15" s="14" t="s">
        <v>28</v>
      </c>
      <c r="H15" s="14"/>
      <c r="I15" s="1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15" t="s">
        <v>29</v>
      </c>
      <c r="B16" s="15"/>
      <c r="C16" s="4"/>
      <c r="D16" s="15" t="s">
        <v>30</v>
      </c>
      <c r="E16" s="15"/>
      <c r="F16" s="4"/>
      <c r="G16" s="15" t="s">
        <v>31</v>
      </c>
      <c r="H16" s="15"/>
      <c r="I16" s="1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15" t="s">
        <v>32</v>
      </c>
      <c r="B17" s="15"/>
      <c r="C17" s="4"/>
      <c r="D17" s="15" t="s">
        <v>33</v>
      </c>
      <c r="E17" s="15"/>
      <c r="F17" s="4"/>
      <c r="G17" s="15" t="s">
        <v>34</v>
      </c>
      <c r="H17" s="15"/>
      <c r="I17" s="1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15" t="s">
        <v>35</v>
      </c>
      <c r="B18" s="15"/>
      <c r="C18" s="4"/>
      <c r="D18" s="15" t="s">
        <v>36</v>
      </c>
      <c r="E18" s="15"/>
      <c r="F18" s="15"/>
      <c r="G18" s="15" t="s">
        <v>37</v>
      </c>
      <c r="H18" s="15"/>
      <c r="I18" s="1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15" t="s">
        <v>38</v>
      </c>
      <c r="B19" s="15"/>
      <c r="C19" s="4"/>
      <c r="D19" s="15" t="s">
        <v>39</v>
      </c>
      <c r="E19" s="15"/>
      <c r="F19" s="4"/>
      <c r="G19" s="15" t="s">
        <v>40</v>
      </c>
      <c r="H19" s="15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15" t="s">
        <v>41</v>
      </c>
      <c r="B20" s="15"/>
      <c r="C20" s="4"/>
      <c r="D20" s="15" t="s">
        <v>42</v>
      </c>
      <c r="E20" s="15"/>
      <c r="F20" s="4"/>
      <c r="G20" s="15" t="s">
        <v>43</v>
      </c>
      <c r="H20" s="15"/>
      <c r="I20" s="1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19" t="s">
        <v>44</v>
      </c>
      <c r="B21" s="19"/>
      <c r="C21" s="4"/>
      <c r="D21" s="15" t="s">
        <v>45</v>
      </c>
      <c r="E21" s="15"/>
      <c r="F21" s="4"/>
      <c r="G21" s="15" t="s">
        <v>46</v>
      </c>
      <c r="H21" s="15"/>
      <c r="I21" s="1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15" t="s">
        <v>47</v>
      </c>
      <c r="B22" s="15"/>
      <c r="C22" s="15"/>
      <c r="D22" s="15" t="s">
        <v>48</v>
      </c>
      <c r="E22" s="15"/>
      <c r="F22" s="4"/>
      <c r="G22" s="15" t="s">
        <v>49</v>
      </c>
      <c r="H22" s="15"/>
      <c r="I22" s="1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27.75" hidden="false" customHeight="true" outlineLevel="0" collapsed="false">
      <c r="A23" s="4"/>
      <c r="B23" s="4"/>
      <c r="C23" s="4"/>
      <c r="D23" s="15" t="s">
        <v>50</v>
      </c>
      <c r="E23" s="15"/>
      <c r="F23" s="15"/>
      <c r="G23" s="15" t="s">
        <v>51</v>
      </c>
      <c r="H23" s="15"/>
      <c r="I23" s="1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15" t="s">
        <v>52</v>
      </c>
      <c r="H24" s="15"/>
      <c r="I24" s="1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9.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9.5" hidden="false" customHeight="true" outlineLevel="0" collapsed="false">
      <c r="A26" s="6"/>
      <c r="B26" s="6"/>
      <c r="C26" s="4"/>
      <c r="D26" s="4"/>
      <c r="E26" s="4"/>
      <c r="F26" s="4"/>
      <c r="G26" s="4"/>
      <c r="H26" s="4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20" t="s">
        <v>53</v>
      </c>
      <c r="B27" s="20"/>
      <c r="C27" s="8"/>
      <c r="D27" s="4"/>
      <c r="E27" s="4"/>
      <c r="F27" s="4"/>
      <c r="G27" s="4"/>
      <c r="H27" s="4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9.5" hidden="false" customHeight="true" outlineLevel="0" collapsed="false">
      <c r="A28" s="5"/>
      <c r="B28" s="5"/>
      <c r="C28" s="4"/>
      <c r="D28" s="4"/>
      <c r="E28" s="4"/>
      <c r="F28" s="4"/>
      <c r="G28" s="4"/>
      <c r="H28" s="4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15" t="s">
        <v>54</v>
      </c>
      <c r="B29" s="15"/>
      <c r="C29" s="15"/>
      <c r="D29" s="15"/>
      <c r="E29" s="15"/>
      <c r="F29" s="4"/>
      <c r="G29" s="4"/>
      <c r="H29" s="4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32.25" hidden="false" customHeight="true" outlineLevel="0" collapsed="false">
      <c r="A30" s="15" t="s">
        <v>55</v>
      </c>
      <c r="B30" s="15"/>
      <c r="C30" s="15"/>
      <c r="D30" s="15"/>
      <c r="E30" s="15"/>
      <c r="F30" s="4"/>
      <c r="G30" s="4"/>
      <c r="H30" s="4"/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30.75" hidden="false" customHeight="true" outlineLevel="0" collapsed="false">
      <c r="A31" s="15" t="s">
        <v>56</v>
      </c>
      <c r="B31" s="15"/>
      <c r="C31" s="15"/>
      <c r="D31" s="15"/>
      <c r="E31" s="15"/>
      <c r="F31" s="4"/>
      <c r="G31" s="4"/>
      <c r="H31" s="4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2">
    <mergeCell ref="A2:B2"/>
    <mergeCell ref="D2:E2"/>
    <mergeCell ref="A3:B3"/>
    <mergeCell ref="D3:E3"/>
    <mergeCell ref="A4:B4"/>
    <mergeCell ref="D4:E4"/>
    <mergeCell ref="A5:B5"/>
    <mergeCell ref="D5:E5"/>
    <mergeCell ref="A6:B6"/>
    <mergeCell ref="D6:F6"/>
    <mergeCell ref="A7:B7"/>
    <mergeCell ref="D7:E7"/>
    <mergeCell ref="A8:B8"/>
    <mergeCell ref="D8:F8"/>
    <mergeCell ref="A9:B9"/>
    <mergeCell ref="D9:G9"/>
    <mergeCell ref="A10:B10"/>
    <mergeCell ref="D10:E10"/>
    <mergeCell ref="A14:B14"/>
    <mergeCell ref="D14:E14"/>
    <mergeCell ref="G14:H14"/>
    <mergeCell ref="A15:C15"/>
    <mergeCell ref="D15:F15"/>
    <mergeCell ref="G15:I15"/>
    <mergeCell ref="A16:B16"/>
    <mergeCell ref="D16:E16"/>
    <mergeCell ref="G16:I16"/>
    <mergeCell ref="A17:B17"/>
    <mergeCell ref="D17:E17"/>
    <mergeCell ref="G17:I17"/>
    <mergeCell ref="A18:B18"/>
    <mergeCell ref="D18:F18"/>
    <mergeCell ref="G18:I18"/>
    <mergeCell ref="A19:B19"/>
    <mergeCell ref="D19:E19"/>
    <mergeCell ref="G19:H19"/>
    <mergeCell ref="A20:B20"/>
    <mergeCell ref="D20:E20"/>
    <mergeCell ref="G20:I20"/>
    <mergeCell ref="A21:B21"/>
    <mergeCell ref="D21:E21"/>
    <mergeCell ref="G21:I21"/>
    <mergeCell ref="A22:C22"/>
    <mergeCell ref="D22:E22"/>
    <mergeCell ref="G22:I22"/>
    <mergeCell ref="D23:F23"/>
    <mergeCell ref="G23:I23"/>
    <mergeCell ref="G24:I24"/>
    <mergeCell ref="A27:B27"/>
    <mergeCell ref="A29:E29"/>
    <mergeCell ref="A30:E30"/>
    <mergeCell ref="A31:E31"/>
  </mergeCells>
  <printOptions headings="false" gridLines="false" gridLinesSet="true" horizontalCentered="false" verticalCentered="false"/>
  <pageMargins left="0.75" right="0.75" top="1" bottom="1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&amp;L000000_x005F_x0009_&amp;P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83593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.55"/>
    <col collapsed="false" customWidth="true" hidden="false" outlineLevel="0" max="26" min="3" style="0" width="9"/>
  </cols>
  <sheetData>
    <row r="1" customFormat="false" ht="15" hidden="false" customHeight="true" outlineLevel="0" collapsed="false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0.25" hidden="false" customHeight="true" outlineLevel="0" collapsed="false">
      <c r="A2" s="22"/>
      <c r="B2" s="22"/>
      <c r="C2" s="22"/>
      <c r="D2" s="22"/>
      <c r="E2" s="22"/>
      <c r="F2" s="22"/>
      <c r="G2" s="22"/>
      <c r="H2" s="22"/>
      <c r="I2" s="2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0.25" hidden="false" customHeight="true" outlineLevel="0" collapsed="false">
      <c r="A3" s="23"/>
      <c r="B3" s="24"/>
      <c r="C3" s="24"/>
      <c r="D3" s="24"/>
      <c r="E3" s="24"/>
      <c r="F3" s="24"/>
      <c r="G3" s="24"/>
      <c r="H3" s="24"/>
      <c r="I3" s="2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0.25" hidden="false" customHeight="true" outlineLevel="0" collapsed="false">
      <c r="A4" s="25"/>
      <c r="B4" s="24"/>
      <c r="C4" s="24"/>
      <c r="D4" s="24"/>
      <c r="E4" s="24"/>
      <c r="F4" s="24"/>
      <c r="G4" s="24"/>
      <c r="H4" s="24"/>
      <c r="I4" s="2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0.25" hidden="false" customHeight="true" outlineLevel="0" collapsed="false">
      <c r="A5" s="25"/>
      <c r="B5" s="24"/>
      <c r="C5" s="24"/>
      <c r="D5" s="24"/>
      <c r="E5" s="24"/>
      <c r="F5" s="24"/>
      <c r="G5" s="24"/>
      <c r="H5" s="24"/>
      <c r="I5" s="2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7.75" hidden="false" customHeight="true" outlineLevel="0" collapsed="false">
      <c r="A6" s="23"/>
      <c r="B6" s="26"/>
      <c r="C6" s="26"/>
      <c r="D6" s="26"/>
      <c r="E6" s="27"/>
      <c r="F6" s="27"/>
      <c r="G6" s="27"/>
      <c r="H6" s="27"/>
      <c r="I6" s="2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21" hidden="false" customHeight="true" outlineLevel="0" collapsed="false">
      <c r="A7" s="23"/>
      <c r="B7" s="27"/>
      <c r="C7" s="28"/>
      <c r="D7" s="28"/>
      <c r="E7" s="28"/>
      <c r="F7" s="28"/>
      <c r="G7" s="28"/>
      <c r="H7" s="28"/>
      <c r="I7" s="2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26.25" hidden="false" customHeight="true" outlineLevel="0" collapsed="false">
      <c r="A8" s="23"/>
      <c r="B8" s="29"/>
      <c r="C8" s="30" t="s">
        <v>57</v>
      </c>
      <c r="D8" s="31" t="s">
        <v>58</v>
      </c>
      <c r="E8" s="31" t="s">
        <v>59</v>
      </c>
      <c r="F8" s="31" t="s">
        <v>60</v>
      </c>
      <c r="G8" s="31" t="s">
        <v>61</v>
      </c>
      <c r="H8" s="31" t="s">
        <v>62</v>
      </c>
      <c r="I8" s="32" t="s">
        <v>63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1" hidden="false" customHeight="true" outlineLevel="0" collapsed="false">
      <c r="A9" s="33"/>
      <c r="B9" s="34" t="s">
        <v>64</v>
      </c>
      <c r="C9" s="35" t="n">
        <v>90</v>
      </c>
      <c r="D9" s="36" t="n">
        <v>62.5</v>
      </c>
      <c r="E9" s="36" t="n">
        <v>125</v>
      </c>
      <c r="F9" s="36" t="n">
        <v>130</v>
      </c>
      <c r="G9" s="36" t="n">
        <v>80</v>
      </c>
      <c r="H9" s="36" t="n">
        <v>40</v>
      </c>
      <c r="I9" s="37" t="n">
        <v>29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20.25" hidden="false" customHeight="true" outlineLevel="0" collapsed="false">
      <c r="A10" s="33"/>
      <c r="B10" s="34" t="s">
        <v>65</v>
      </c>
      <c r="C10" s="38" t="n">
        <f aca="false">MROUND(C9*0.86,2.5)</f>
        <v>77.5</v>
      </c>
      <c r="D10" s="39" t="n">
        <f aca="false">MROUND(D9*0.86,2.5)</f>
        <v>55</v>
      </c>
      <c r="E10" s="39" t="n">
        <f aca="false">MROUND(E9*0.86,2.5)</f>
        <v>107.5</v>
      </c>
      <c r="F10" s="39" t="n">
        <f aca="false">MROUND(F9*0.86,2.5)</f>
        <v>112.5</v>
      </c>
      <c r="G10" s="39" t="n">
        <f aca="false">MROUND(G9*0.86,2.5)</f>
        <v>70</v>
      </c>
      <c r="H10" s="39" t="n">
        <f aca="false">MROUND(H9*0.86,2.5)</f>
        <v>35</v>
      </c>
      <c r="I10" s="40" t="n">
        <f aca="false">MROUND(I9*0.86,2.5)</f>
        <v>25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21" hidden="false" customHeight="true" outlineLevel="0" collapsed="false">
      <c r="A11" s="33"/>
      <c r="B11" s="41" t="s">
        <v>66</v>
      </c>
      <c r="C11" s="42" t="n">
        <f aca="false">MROUND(C9*0.9,2.5)</f>
        <v>80</v>
      </c>
      <c r="D11" s="43" t="n">
        <f aca="false">MROUND(D9*0.9,2.5)</f>
        <v>57.5</v>
      </c>
      <c r="E11" s="43" t="n">
        <f aca="false">MROUND(E9*0.9,2.5)</f>
        <v>112.5</v>
      </c>
      <c r="F11" s="43" t="n">
        <f aca="false">MROUND(F9*0.9,2.5)</f>
        <v>117.5</v>
      </c>
      <c r="G11" s="43" t="n">
        <f aca="false">MROUND(G9*0.9,2.5)</f>
        <v>72.5</v>
      </c>
      <c r="H11" s="44" t="n">
        <f aca="false">MROUND(H9*0.9,2.5)</f>
        <v>35</v>
      </c>
      <c r="I11" s="45" t="n">
        <f aca="false">MROUND(I9*0.9,2.5)</f>
        <v>25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21" hidden="false" customHeight="true" outlineLevel="0" collapsed="false">
      <c r="A12" s="23"/>
      <c r="B12" s="46"/>
      <c r="C12" s="46"/>
      <c r="D12" s="46"/>
      <c r="E12" s="46"/>
      <c r="F12" s="46"/>
      <c r="G12" s="46"/>
      <c r="H12" s="47"/>
      <c r="I12" s="48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20.25" hidden="false" customHeight="true" outlineLevel="0" collapsed="false">
      <c r="A13" s="23"/>
      <c r="B13" s="26"/>
      <c r="C13" s="26"/>
      <c r="D13" s="26"/>
      <c r="E13" s="26"/>
      <c r="F13" s="26"/>
      <c r="G13" s="26"/>
      <c r="H13" s="26"/>
      <c r="I13" s="2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20.25" hidden="false" customHeight="true" outlineLevel="0" collapsed="false">
      <c r="A14" s="23"/>
      <c r="B14" s="26"/>
      <c r="C14" s="26"/>
      <c r="D14" s="26"/>
      <c r="E14" s="26"/>
      <c r="F14" s="26"/>
      <c r="G14" s="26"/>
      <c r="H14" s="26"/>
      <c r="I14" s="27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24.75" hidden="false" customHeight="true" outlineLevel="0" collapsed="false">
      <c r="A15" s="23"/>
      <c r="B15" s="39" t="s">
        <v>67</v>
      </c>
      <c r="C15" s="39" t="str">
        <f aca="false">IF(C9&lt;=150,"3x5x"&amp;C10-5&amp;"kg",IF(C9&gt;150,"3x5x"&amp;C10-10&amp;"kg","error"))</f>
        <v>3x5x72.5kg</v>
      </c>
      <c r="D15" s="39" t="str">
        <f aca="false">IF(D9&lt;=150,"3x5x"&amp;D10-5&amp;"kg",IF(D9&gt;150,"3x5x"&amp;D10-10&amp;"kg","error"))</f>
        <v>3x5x50kg</v>
      </c>
      <c r="E15" s="39" t="str">
        <f aca="false">IF(E9&lt;=150,"3x5x"&amp;E10-5&amp;"kg",IF(E9&gt;150,"3x5x"&amp;E10-10&amp;"kg","error"))</f>
        <v>3x5x102.5kg</v>
      </c>
      <c r="F15" s="39" t="str">
        <f aca="false">IF(F9&lt;=150,"3x5x"&amp;F10-5&amp;"kg",IF(F9&gt;150,"3x5x"&amp;F10-10&amp;"kg","error"))</f>
        <v>3x5x107.5kg</v>
      </c>
      <c r="G15" s="39" t="str">
        <f aca="false">IF(G9&lt;=150,"3x5x"&amp;G10-5&amp;"kg",IF(G9&gt;150,"3x5x"&amp;G10-10&amp;"kg","error"))</f>
        <v>3x5x65kg</v>
      </c>
      <c r="H15" s="39" t="str">
        <f aca="false">IF(H9&lt;=150,"3x5x"&amp;H10-5&amp;"kg",IF(H9&gt;150,"3x5x"&amp;H10-10&amp;"kg","error"))</f>
        <v>3x5x30kg</v>
      </c>
      <c r="I15" s="39" t="str">
        <f aca="false">IF(I9&lt;=150,"3x5x"&amp;I10-5&amp;"kg",IF(I9&gt;150,"3x5x"&amp;I10-10&amp;"kg","error"))</f>
        <v>3x5x20kg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20.25" hidden="false" customHeight="true" outlineLevel="0" collapsed="false">
      <c r="A16" s="23"/>
      <c r="B16" s="39" t="s">
        <v>68</v>
      </c>
      <c r="C16" s="39" t="str">
        <f aca="false">"6x3x"&amp;C11*0.7&amp;"kg"</f>
        <v>6x3x56kg</v>
      </c>
      <c r="D16" s="39" t="str">
        <f aca="false">"6x3x"&amp;D11*0.7&amp;"kg"</f>
        <v>6x3x40.25kg</v>
      </c>
      <c r="E16" s="39" t="str">
        <f aca="false">"6x3x"&amp;E11*0.7&amp;"kg"</f>
        <v>6x3x78.75kg</v>
      </c>
      <c r="F16" s="39" t="str">
        <f aca="false">"6x3x"&amp;F11*0.7&amp;"kg"</f>
        <v>6x3x82.25kg</v>
      </c>
      <c r="G16" s="39" t="str">
        <f aca="false">"6x3x"&amp;G11*0.7&amp;"kg"</f>
        <v>6x3x50.75kg</v>
      </c>
      <c r="H16" s="39" t="str">
        <f aca="false">"6x3x"&amp;H11*0.7&amp;"kg"</f>
        <v>6x3x24.5kg</v>
      </c>
      <c r="I16" s="49" t="str">
        <f aca="false">"6x3x"&amp;I11*0.7&amp;"kg"</f>
        <v>6x3x17.5kg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21" hidden="false" customHeight="true" outlineLevel="0" collapsed="false">
      <c r="A17" s="23"/>
      <c r="B17" s="39" t="s">
        <v>69</v>
      </c>
      <c r="C17" s="39" t="str">
        <f aca="false">IF(C9&lt;=150,"3x5x"&amp;C10-2.5&amp;"kg",IF(C9&gt;150,"3x5x"&amp;C10-5&amp;"kg","error"))</f>
        <v>3x5x75kg</v>
      </c>
      <c r="D17" s="39" t="str">
        <f aca="false">IF(D9&lt;=150,"3x5x"&amp;D10-2.5&amp;"kg",IF(D9&gt;150,"3x5x"&amp;D10-5&amp;"kg","error"))</f>
        <v>3x5x52.5kg</v>
      </c>
      <c r="E17" s="39" t="str">
        <f aca="false">IF(E9&lt;=150,"3x5x"&amp;E10-2.5&amp;"kg",IF(E9&gt;150,"3x5x"&amp;E10-5&amp;"kg","error"))</f>
        <v>3x5x105kg</v>
      </c>
      <c r="F17" s="39" t="str">
        <f aca="false">IF(F9&lt;=150,"3x5x"&amp;F10-2.5&amp;"kg",IF(F9&gt;150,"3x5x"&amp;F10-5&amp;"kg","error"))</f>
        <v>3x5x110kg</v>
      </c>
      <c r="G17" s="39" t="str">
        <f aca="false">IF(G9&lt;=150,"3x5x"&amp;G10-2.5&amp;"kg",IF(G9&gt;150,"3x5x"&amp;G10-5&amp;"kg","error"))</f>
        <v>3x5x67.5kg</v>
      </c>
      <c r="H17" s="39" t="str">
        <f aca="false">IF(H9&lt;=150,"3x5x"&amp;H10-2.5&amp;"kg",IF(H9&gt;150,"3x5x"&amp;H10-5&amp;"kg","error"))</f>
        <v>3x5x32.5kg</v>
      </c>
      <c r="I17" s="49" t="str">
        <f aca="false">IF(I9&lt;=150,"3x5x"&amp;I10-2.5&amp;"kg",IF(I9&gt;150,"3x5x"&amp;I10-5&amp;"kg","error"))</f>
        <v>3x5x22.5kg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20.25" hidden="false" customHeight="true" outlineLevel="0" collapsed="false">
      <c r="A18" s="23"/>
      <c r="B18" s="39" t="s">
        <v>70</v>
      </c>
      <c r="C18" s="39" t="str">
        <f aca="false">"6x3x"&amp;C11*0.72&amp;"kg"</f>
        <v>6x3x57.6kg</v>
      </c>
      <c r="D18" s="39" t="str">
        <f aca="false">"6x3x"&amp;D11*0.72&amp;"kg"</f>
        <v>6x3x41.4kg</v>
      </c>
      <c r="E18" s="39" t="str">
        <f aca="false">"6x3x"&amp;E11*0.72&amp;"kg"</f>
        <v>6x3x81kg</v>
      </c>
      <c r="F18" s="39" t="str">
        <f aca="false">"6x3x"&amp;F11*0.72&amp;"kg"</f>
        <v>6x3x84.6kg</v>
      </c>
      <c r="G18" s="39" t="str">
        <f aca="false">"6x3x"&amp;G11*0.72&amp;"kg"</f>
        <v>6x3x52.2kg</v>
      </c>
      <c r="H18" s="39" t="str">
        <f aca="false">"6x3x"&amp;H11*0.72&amp;"kg"</f>
        <v>6x3x25.2kg</v>
      </c>
      <c r="I18" s="49" t="str">
        <f aca="false">"6x3x"&amp;I11*0.72&amp;"kg"</f>
        <v>6x3x18kg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9.5" hidden="false" customHeight="true" outlineLevel="0" collapsed="false">
      <c r="A19" s="23"/>
      <c r="B19" s="39" t="s">
        <v>71</v>
      </c>
      <c r="C19" s="39" t="str">
        <f aca="false">IF(C9&lt;=150,"3x5x"&amp;C10&amp;"kg",IF(C9&gt;150,"3x5x"&amp;C10&amp;"kg","error"))</f>
        <v>3x5x77.5kg</v>
      </c>
      <c r="D19" s="39" t="str">
        <f aca="false">IF(D9&lt;=150,"3x5x"&amp;D10&amp;"kg",IF(D9&gt;150,"3x5x"&amp;D10&amp;"kg","error"))</f>
        <v>3x5x55kg</v>
      </c>
      <c r="E19" s="39" t="str">
        <f aca="false">IF(E9&lt;=150,"3x5x"&amp;E10&amp;"kg",IF(E9&gt;150,"3x5x"&amp;E10&amp;"kg","error"))</f>
        <v>3x5x107.5kg</v>
      </c>
      <c r="F19" s="39" t="str">
        <f aca="false">IF(F9&lt;=150,"3x5x"&amp;F10&amp;"kg",IF(F9&gt;150,"3x5x"&amp;F10&amp;"kg","error"))</f>
        <v>3x5x112.5kg</v>
      </c>
      <c r="G19" s="39" t="str">
        <f aca="false">IF(G9&lt;=150,"3x5x"&amp;G10&amp;"kg",IF(G9&gt;150,"3x5x"&amp;G10&amp;"kg","error"))</f>
        <v>3x5x70kg</v>
      </c>
      <c r="H19" s="39" t="str">
        <f aca="false">IF(H9&lt;=150,"3x5x"&amp;H10&amp;"kg",IF(H9&gt;150,"3x5x"&amp;H10&amp;"kg","error"))</f>
        <v>3x5x35kg</v>
      </c>
      <c r="I19" s="49" t="str">
        <f aca="false">IF(I9&lt;=150,"3x5x"&amp;I10&amp;"kg",IF(I9&gt;150,"3x5x"&amp;I10&amp;"kg","error"))</f>
        <v>3x5x25kg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20.25" hidden="false" customHeight="true" outlineLevel="0" collapsed="false">
      <c r="A20" s="23"/>
      <c r="B20" s="39" t="s">
        <v>72</v>
      </c>
      <c r="C20" s="39" t="str">
        <f aca="false">"6x3x"&amp;C11*0.74&amp;"kg"</f>
        <v>6x3x59.2kg</v>
      </c>
      <c r="D20" s="39" t="str">
        <f aca="false">"6x3x"&amp;D11*0.74&amp;"kg"</f>
        <v>6x3x42.55kg</v>
      </c>
      <c r="E20" s="39" t="str">
        <f aca="false">"6x3x"&amp;E11*0.74&amp;"kg"</f>
        <v>6x3x83.25kg</v>
      </c>
      <c r="F20" s="39" t="str">
        <f aca="false">"6x3x"&amp;F11*0.74&amp;"kg"</f>
        <v>6x3x86.95kg</v>
      </c>
      <c r="G20" s="39" t="str">
        <f aca="false">"6x3x"&amp;G11*0.74&amp;"kg"</f>
        <v>6x3x53.65kg</v>
      </c>
      <c r="H20" s="39" t="str">
        <f aca="false">"6x3x"&amp;H11*0.74&amp;"kg"</f>
        <v>6x3x25.9kg</v>
      </c>
      <c r="I20" s="49" t="str">
        <f aca="false">"6x3x"&amp;I11*0.74&amp;"kg"</f>
        <v>6x3x18.5kg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3.25" hidden="false" customHeight="true" outlineLevel="0" collapsed="false">
      <c r="A21" s="23"/>
      <c r="B21" s="39" t="s">
        <v>73</v>
      </c>
      <c r="C21" s="39" t="str">
        <f aca="false">IF(C9&lt;=150,"3x3x"&amp;C11-5&amp;"kg",IF(C9&gt;150,"3x3x"&amp;C11-10&amp;"kg","error"))</f>
        <v>3x3x75kg</v>
      </c>
      <c r="D21" s="39" t="str">
        <f aca="false">IF(D9&lt;=150,"3x3x"&amp;D11-5&amp;"kg",IF(D9&gt;150,"3x3x"&amp;D11-10&amp;"kg","error"))</f>
        <v>3x3x52.5kg</v>
      </c>
      <c r="E21" s="39" t="str">
        <f aca="false">IF(E9&lt;=150,"3x3x"&amp;E11-5&amp;"kg",IF(E9&gt;150,"3x3x"&amp;E11-10&amp;"kg","error"))</f>
        <v>3x3x107.5kg</v>
      </c>
      <c r="F21" s="39" t="str">
        <f aca="false">IF(F9&lt;=150,"3x3x"&amp;F11-5&amp;"kg",IF(F9&gt;150,"3x3x"&amp;F11-10&amp;"kg","error"))</f>
        <v>3x3x112.5kg</v>
      </c>
      <c r="G21" s="39" t="str">
        <f aca="false">IF(G9&lt;=150,"3x3x"&amp;G11-5&amp;"kg",IF(G9&gt;150,"3x3x"&amp;G11-10&amp;"kg","error"))</f>
        <v>3x3x67.5kg</v>
      </c>
      <c r="H21" s="39" t="str">
        <f aca="false">IF(H9&lt;=150,"3x3x"&amp;H11-5&amp;"kg",IF(H9&gt;150,"3x3x"&amp;H11-10&amp;"kg","error"))</f>
        <v>3x3x30kg</v>
      </c>
      <c r="I21" s="49" t="str">
        <f aca="false">IF(I9&lt;=150,"3x3x"&amp;I11-5&amp;"kg",IF(I9&gt;150,"3x3x"&amp;I11-10&amp;"kg","error"))</f>
        <v>3x3x20kg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20.25" hidden="false" customHeight="true" outlineLevel="0" collapsed="false">
      <c r="A22" s="23"/>
      <c r="B22" s="39" t="s">
        <v>74</v>
      </c>
      <c r="C22" s="39" t="str">
        <f aca="false">"6x3x"&amp;C11*0.76&amp;"kg"</f>
        <v>6x3x60.8kg</v>
      </c>
      <c r="D22" s="39" t="str">
        <f aca="false">"6x3x"&amp;D11*0.76&amp;"kg"</f>
        <v>6x3x43.7kg</v>
      </c>
      <c r="E22" s="39" t="str">
        <f aca="false">"6x3x"&amp;E11*0.76&amp;"kg"</f>
        <v>6x3x85.5kg</v>
      </c>
      <c r="F22" s="39" t="str">
        <f aca="false">"6x3x"&amp;F11*0.76&amp;"kg"</f>
        <v>6x3x89.3kg</v>
      </c>
      <c r="G22" s="39" t="str">
        <f aca="false">"6x3x"&amp;G11*0.76&amp;"kg"</f>
        <v>6x3x55.1kg</v>
      </c>
      <c r="H22" s="39" t="str">
        <f aca="false">"6x3x"&amp;H11*0.76&amp;"kg"</f>
        <v>6x3x26.6kg</v>
      </c>
      <c r="I22" s="49" t="str">
        <f aca="false">"6x3x"&amp;I11*0.76&amp;"kg"</f>
        <v>6x3x19kg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27.75" hidden="false" customHeight="true" outlineLevel="0" collapsed="false">
      <c r="A23" s="23"/>
      <c r="B23" s="39" t="s">
        <v>75</v>
      </c>
      <c r="C23" s="39" t="str">
        <f aca="false">IF(C9&lt;=150,"3x3x"&amp;C11-2.5&amp;"kg",IF(C9&gt;150,"3x3x"&amp;C11-5&amp;"kg","error"))</f>
        <v>3x3x77.5kg</v>
      </c>
      <c r="D23" s="39" t="str">
        <f aca="false">IF(D9&lt;=150,"3x3x"&amp;D11-2.5&amp;"kg",IF(D9&gt;150,"3x3x"&amp;D11-5&amp;"kg","error"))</f>
        <v>3x3x55kg</v>
      </c>
      <c r="E23" s="39" t="str">
        <f aca="false">IF(E9&lt;=150,"3x3x"&amp;E11-2.5&amp;"kg",IF(E9&gt;150,"3x3x"&amp;E11-5&amp;"kg","error"))</f>
        <v>3x3x110kg</v>
      </c>
      <c r="F23" s="39" t="str">
        <f aca="false">IF(F9&lt;=150,"3x3x"&amp;F11-2.5&amp;"kg",IF(F9&gt;150,"3x3x"&amp;F11-5&amp;"kg","error"))</f>
        <v>3x3x115kg</v>
      </c>
      <c r="G23" s="39" t="str">
        <f aca="false">IF(G9&lt;=150,"3x3x"&amp;G11-2.5&amp;"kg",IF(G9&gt;150,"3x3x"&amp;G11-5&amp;"kg","error"))</f>
        <v>3x3x70kg</v>
      </c>
      <c r="H23" s="39" t="str">
        <f aca="false">IF(H9&lt;=150,"3x3x"&amp;H11-2.5&amp;"kg",IF(H9&gt;150,"3x3x"&amp;H11-5&amp;"kg","error"))</f>
        <v>3x3x32.5kg</v>
      </c>
      <c r="I23" s="49" t="str">
        <f aca="false">IF(I9&lt;=150,"3x3x"&amp;I11-2.5&amp;"kg",IF(I9&gt;150,"3x3x"&amp;I11-5&amp;"kg","error"))</f>
        <v>3x3x22.5kg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8" hidden="false" customHeight="true" outlineLevel="0" collapsed="false">
      <c r="A24" s="23"/>
      <c r="B24" s="39" t="s">
        <v>76</v>
      </c>
      <c r="C24" s="39" t="str">
        <f aca="false">"6x3x"&amp;C11*0.78&amp;"kg"</f>
        <v>6x3x62.4kg</v>
      </c>
      <c r="D24" s="39" t="str">
        <f aca="false">"6x3x"&amp;D11*0.78&amp;"kg"</f>
        <v>6x3x44.85kg</v>
      </c>
      <c r="E24" s="39" t="str">
        <f aca="false">"6x3x"&amp;E11*0.78&amp;"kg"</f>
        <v>6x3x87.75kg</v>
      </c>
      <c r="F24" s="39" t="str">
        <f aca="false">"6x3x"&amp;F11*0.78&amp;"kg"</f>
        <v>6x3x91.65kg</v>
      </c>
      <c r="G24" s="39" t="str">
        <f aca="false">"6x3x"&amp;G11*0.78&amp;"kg"</f>
        <v>6x3x56.55kg</v>
      </c>
      <c r="H24" s="39" t="str">
        <f aca="false">"6x3x"&amp;H11*0.78&amp;"kg"</f>
        <v>6x3x27.3kg</v>
      </c>
      <c r="I24" s="49" t="str">
        <f aca="false">"6x3x"&amp;I11*0.78&amp;"kg"</f>
        <v>6x3x19.5kg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20.25" hidden="false" customHeight="true" outlineLevel="0" collapsed="false">
      <c r="A25" s="23"/>
      <c r="B25" s="39" t="s">
        <v>77</v>
      </c>
      <c r="C25" s="39" t="str">
        <f aca="false">IF(C9&lt;=150,"3x3x"&amp;C11&amp;"kg",IF(C9&gt;150,"3x3x"&amp;C11&amp;"kg","error"))</f>
        <v>3x3x80kg</v>
      </c>
      <c r="D25" s="39" t="str">
        <f aca="false">IF(D9&lt;=150,"3x3x"&amp;D11&amp;"kg",IF(D9&gt;150,"3x3x"&amp;D11&amp;"kg","error"))</f>
        <v>3x3x57.5kg</v>
      </c>
      <c r="E25" s="39" t="str">
        <f aca="false">IF(E9&lt;=150,"3x3x"&amp;E11&amp;"kg",IF(E9&gt;150,"3x3x"&amp;E11&amp;"kg","error"))</f>
        <v>3x3x112.5kg</v>
      </c>
      <c r="F25" s="39" t="str">
        <f aca="false">IF(F9&lt;=150,"3x3x"&amp;F11&amp;"kg",IF(F9&gt;150,"3x3x"&amp;F11&amp;"kg","error"))</f>
        <v>3x3x117.5kg</v>
      </c>
      <c r="G25" s="39" t="str">
        <f aca="false">IF(G9&lt;=150,"3x3x"&amp;G11&amp;"kg",IF(G9&gt;150,"3x3x"&amp;G11&amp;"kg","error"))</f>
        <v>3x3x72.5kg</v>
      </c>
      <c r="H25" s="39" t="str">
        <f aca="false">IF(H9&lt;=150,"3x3x"&amp;H11&amp;"kg",IF(H9&gt;150,"3x3x"&amp;H11&amp;"kg","error"))</f>
        <v>3x3x35kg</v>
      </c>
      <c r="I25" s="49" t="str">
        <f aca="false">IF(I9&lt;=150,"3x3x"&amp;I11&amp;"kg",IF(I9&gt;150,"3x3x"&amp;I11&amp;"kg","error"))</f>
        <v>3x3x25kg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22.5" hidden="false" customHeight="true" outlineLevel="0" collapsed="false">
      <c r="A26" s="23"/>
      <c r="B26" s="39" t="s">
        <v>78</v>
      </c>
      <c r="C26" s="39" t="str">
        <f aca="false">"6x3x"&amp;C11*0.8&amp;"kg"</f>
        <v>6x3x64kg</v>
      </c>
      <c r="D26" s="39" t="str">
        <f aca="false">"6x3x"&amp;D11*0.8&amp;"kg"</f>
        <v>6x3x46kg</v>
      </c>
      <c r="E26" s="39" t="str">
        <f aca="false">"6x3x"&amp;E11*0.8&amp;"kg"</f>
        <v>6x3x90kg</v>
      </c>
      <c r="F26" s="39" t="str">
        <f aca="false">"6x3x"&amp;F11*0.8&amp;"kg"</f>
        <v>6x3x94kg</v>
      </c>
      <c r="G26" s="39" t="str">
        <f aca="false">"6x3x"&amp;G11*0.8&amp;"kg"</f>
        <v>6x3x58kg</v>
      </c>
      <c r="H26" s="39" t="str">
        <f aca="false">"6x3x"&amp;H11*0.8&amp;"kg"</f>
        <v>6x3x28kg</v>
      </c>
      <c r="I26" s="49" t="str">
        <f aca="false">"6x3x"&amp;I11*0.8&amp;"kg"</f>
        <v>6x3x20kg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8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8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8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8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8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8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8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8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8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8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8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8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8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8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8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8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8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8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8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8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8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8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8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8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8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8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8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8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8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8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8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8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8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8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8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8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8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8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8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8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8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8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8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8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8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8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8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8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8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8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8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8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8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8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8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8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8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8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8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8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8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8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8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8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8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8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8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8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8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8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8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8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8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8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8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8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8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8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8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8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8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8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8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8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8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8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8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8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8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8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8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8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8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8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8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8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8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8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8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8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8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8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8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8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8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8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8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8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8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8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8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8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8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8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8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8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8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8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8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8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8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8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8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8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8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8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8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8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8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8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8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8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8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8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8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8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8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8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8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8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8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8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8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8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8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8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8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8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8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8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8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8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8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8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8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8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8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8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8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8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8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8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8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8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8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8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8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8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8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8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8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8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8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8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8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8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8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8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8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8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8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8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8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8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8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8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8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8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8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8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8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8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8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8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8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8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8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8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8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8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8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8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8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8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8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8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8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8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8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8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8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8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8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8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8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8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8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8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8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8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8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8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8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8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8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8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8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8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8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8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8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8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8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8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8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8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8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8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8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8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8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8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8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8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8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8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8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8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8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8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8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8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8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8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8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8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8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8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8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8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8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8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8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8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8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8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8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8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8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8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8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8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8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8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8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8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8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8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8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8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8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8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8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8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8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8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8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8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8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8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8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8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8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8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8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8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8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8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8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8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8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8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8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8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8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8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8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8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8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8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8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8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8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8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8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8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8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8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8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8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8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8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8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8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8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8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8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8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8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8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8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8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8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8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8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8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8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8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8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8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8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8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8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8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8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8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8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8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8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8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8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8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8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8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8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8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8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8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8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8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8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8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8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8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8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8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8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8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8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8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8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8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8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8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8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8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8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8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8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8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8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8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8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8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8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8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8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8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8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8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8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8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8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8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8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8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8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8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8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8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8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8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8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8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8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8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8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8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8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8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8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8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8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8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8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8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8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8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8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8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8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8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8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8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8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8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8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8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8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8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8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8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8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8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8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8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8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8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8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8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8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8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8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8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8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8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8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8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8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8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8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8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8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8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8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8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8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8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8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8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8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8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8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8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8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8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8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8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8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8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8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8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8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8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8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8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8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8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8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8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8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8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8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8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8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8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8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8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8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8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8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8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8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8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8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8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8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8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8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8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8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8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8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8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8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8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8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8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8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8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8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8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8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8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8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8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8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8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8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8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8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8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8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8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8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8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8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8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8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8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8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8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8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8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8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8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8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8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8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8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8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8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8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8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8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8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8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8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8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8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8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8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8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8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8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8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8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8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8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8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8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8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8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8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8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8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8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8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8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8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8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8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8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8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8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8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8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8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8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8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8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8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8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8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8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8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8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8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8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8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8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8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8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8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8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8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8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8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8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8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8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8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8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8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8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8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8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8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8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8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8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8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8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8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8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8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8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8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8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8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8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8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8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8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8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8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8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8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8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8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8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8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8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8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8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8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8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8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8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8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8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8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8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8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8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8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8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8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8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8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8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8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8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8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8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8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8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8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8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8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8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8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8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8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8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8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8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8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8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8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8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8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8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8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8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8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8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8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8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8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8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8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8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8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8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8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8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8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8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8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8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8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8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8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8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8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8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8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8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8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8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8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8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8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8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8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8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8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8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8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8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8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8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8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8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8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8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8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8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8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8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8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8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8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8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8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8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8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8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8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8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8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8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8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8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8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8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8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8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8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8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8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8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8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8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8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8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8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8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8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8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8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8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8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8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8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8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8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8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8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8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8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8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8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8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8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8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8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8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8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8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8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8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8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8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8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8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8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8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8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8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8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8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8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8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8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8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8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8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8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8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8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8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8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8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8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8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8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8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8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8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8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8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8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8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8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8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8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8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8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8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8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8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8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8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8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8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8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8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8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8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8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8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8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8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8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8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8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8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8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8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8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8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8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8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8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8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8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8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8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8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8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8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8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8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8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8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8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8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8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8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8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8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8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8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8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8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8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8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8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8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8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8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8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8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8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8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8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8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8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8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8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8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8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8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8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8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8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8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8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8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8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8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8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8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8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8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8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8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8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8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8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8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8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8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8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8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8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8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8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8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8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8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8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8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8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8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8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8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8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8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8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8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8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8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8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8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8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8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8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8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8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8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8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8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8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8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8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8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8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8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8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8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8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8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8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8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8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8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8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8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8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8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8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8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8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8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8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8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8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8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8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8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8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8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8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8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8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8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8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8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8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8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8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8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8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8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8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8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8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8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8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8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8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I1"/>
    <mergeCell ref="B3:I5"/>
  </mergeCells>
  <printOptions headings="false" gridLines="false" gridLinesSet="true" horizontalCentered="false" verticalCentered="false"/>
  <pageMargins left="0.75" right="0.75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&amp;L000000_x005F_x0009_&amp;P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2022-10-04T19:39:45Z</dcterms:created>
  <dc:creator>Shneider Manosalva Villanueva</dc:creator>
  <dc:description/>
  <dc:language>en-US</dc:language>
  <cp:lastModifiedBy/>
  <dcterms:modified xsi:type="dcterms:W3CDTF">2026-07-18T15:08:03Z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